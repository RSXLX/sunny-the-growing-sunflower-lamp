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e3393bfda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硬件采购" sheetId="1" r:id="R1c4b46ab37494e1e"/>
    <x:sheet xmlns:r="http://schemas.openxmlformats.org/officeDocument/2006/relationships" name="3D打印" sheetId="2" r:id="R9605867691714b5f"/>
    <x:sheet xmlns:r="http://schemas.openxmlformats.org/officeDocument/2006/relationships" name="工具与外协" sheetId="3" r:id="R9805ed687b4340d1"/>
    <x:sheet xmlns:r="http://schemas.openxmlformats.org/officeDocument/2006/relationships" name="适配与边界" sheetId="4" r:id="R3dfe7cf5f5bf426b"/>
    <x:sheet xmlns:r="http://schemas.openxmlformats.org/officeDocument/2006/relationships" name="说明与来源" sheetId="5" r:id="R605c0a503a92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41564B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13C32"/>
      </x:patternFill>
    </x:fill>
    <x:fill>
      <x:patternFill patternType="solid">
        <x:fgColor rgb="FFEDF3EE"/>
      </x:patternFill>
    </x:fill>
    <x:fill>
      <x:patternFill patternType="solid">
        <x:fgColor rgb="FF416B54"/>
      </x:patternFill>
    </x:fill>
    <x:fill>
      <x:patternFill patternType="solid">
        <x:fgColor rgb="FFFFF1D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b44dcb3294dbe" /><Relationship Type="http://schemas.openxmlformats.org/officeDocument/2006/relationships/theme" Target="/xl/theme/theme1.xml" Id="Ref04a2cd16bc4124" /><Relationship Type="http://schemas.openxmlformats.org/officeDocument/2006/relationships/sharedStrings" Target="/xl/sharedStrings.xml" Id="R4ce9012003ec4561" /><Relationship Type="http://schemas.openxmlformats.org/officeDocument/2006/relationships/worksheet" Target="/xl/worksheets/sheet1.xml" Id="R1c4b46ab37494e1e" /><Relationship Type="http://schemas.openxmlformats.org/officeDocument/2006/relationships/worksheet" Target="/xl/worksheets/sheet2.xml" Id="R9605867691714b5f" /><Relationship Type="http://schemas.openxmlformats.org/officeDocument/2006/relationships/worksheet" Target="/xl/worksheets/sheet3.xml" Id="R9805ed687b4340d1" /><Relationship Type="http://schemas.openxmlformats.org/officeDocument/2006/relationships/worksheet" Target="/xl/worksheets/sheet4.xml" Id="R3dfe7cf5f5bf426b" /><Relationship Type="http://schemas.openxmlformats.org/officeDocument/2006/relationships/worksheet" Target="/xl/worksheets/sheet5.xml" Id="R605c0a503a924de8" /></Relationships>
</file>

<file path=xl/tables/table1.xml><?xml version="1.0" encoding="utf-8"?>
<x:table xmlns:x="http://schemas.openxmlformats.org/spreadsheetml/2006/main" id="1" name="HardwareBOM" displayName="HardwareBOM" ref="A4:J32" headerRowCount="1" totalsRowCount="0" totalsRowShown="0">
  <x:tableColumns count="10">
    <x:tableColumn id="1" name="编号"/>
    <x:tableColumn id="2" name="分类"/>
    <x:tableColumn id="3" name="部件"/>
    <x:tableColumn id="4" name="装机最低"/>
    <x:tableColumn id="5" name="建议采购"/>
    <x:tableColumn id="6" name="单位"/>
    <x:tableColumn id="7" name="规格/设计假设"/>
    <x:tableColumn id="8" name="采购注意"/>
    <x:tableColumn id="9" name="状态"/>
    <x:tableColumn id="10" name="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ntBOM" displayName="PrintBOM" ref="A4:J21" headerRowCount="1" totalsRowCount="0" totalsRowShown="0">
  <x:tableColumns count="10">
    <x:tableColumn id="1" name="编号"/>
    <x:tableColumn id="2" name="分类"/>
    <x:tableColumn id="3" name="零件"/>
    <x:tableColumn id="4" name="实际文件名"/>
    <x:tableColumn id="5" name="首轮数量"/>
    <x:tableColumn id="6" name="包围盒 mm"/>
    <x:tableColumn id="7" name="用途/适配注意"/>
    <x:tableColumn id="8" name="材料/工艺要求"/>
    <x:tableColumn id="9" name="状态"/>
    <x:tableColumn id="10" name="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ols" displayName="Tools" ref="A4:E14" headerRowCount="1" totalsRowCount="0" totalsRowShown="0">
  <x:tableColumns count="5">
    <x:tableColumn id="1" name="编号"/>
    <x:tableColumn id="2" name="工具/服务"/>
    <x:tableColumn id="3" name="数量"/>
    <x:tableColumn id="4" name="用途/条件"/>
    <x:tableColumn id="5" name="获取建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tGates" displayName="FitGates" ref="A4:E15" headerRowCount="1" totalsRowCount="0" totalsRowShown="0">
  <x:tableColumns count="5">
    <x:tableColumn id="1" name="编号"/>
    <x:tableColumn id="2" name="对象"/>
    <x:tableColumn id="3" name="必须确认"/>
    <x:tableColumn id="4" name="具体说明"/>
    <x:tableColumn id="5" name="状态/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eb633b8cfc4c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41a3cbacdf4e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688e9075d148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676210fbd6c4a0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5" hidden="0" customWidth="1"/>
    <x:col min="4" max="4" width="11" hidden="0" customWidth="1"/>
    <x:col min="5" max="5" width="11" hidden="0" customWidth="1"/>
    <x:col min="6" max="6" width="7" hidden="0" customWidth="1"/>
    <x:col min="7" max="7" width="39" hidden="0" customWidth="1"/>
    <x:col min="8" max="8" width="47" hidden="0" customWidth="1"/>
    <x:col min="9" max="9" width="15" hidden="0" customWidth="1"/>
    <x:col min="10" max="10" width="16" hidden="0" customWidth="1"/>
  </x:cols>
  <x:sheetData>
    <x:row r="1" ht="34" customHeight="1">
      <x:c r="A1" s="3" t="str">
        <x:v>BLOOM | 一盏灯的硬件采购清单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8" customHeight="1">
      <x:c r="A2" s="8" t="str">
        <x:v>核对日期：2026-09-21｜范围：1盏灯＋3套花冠＋1套分体投影｜数量为原型采购建议，不含市场报价；未实物验证。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8" customHeight="1">
      <x:c r="A4" s="14" t="str">
        <x:v>编号</x:v>
      </x:c>
      <x:c r="B4" s="14" t="str">
        <x:v>分类</x:v>
      </x:c>
      <x:c r="C4" s="14" t="str">
        <x:v>部件</x:v>
      </x:c>
      <x:c r="D4" s="14" t="str">
        <x:v>装机最低</x:v>
      </x:c>
      <x:c r="E4" s="14" t="str">
        <x:v>建议采购</x:v>
      </x:c>
      <x:c r="F4" s="14" t="str">
        <x:v>单位</x:v>
      </x:c>
      <x:c r="G4" s="14" t="str">
        <x:v>规格/设计假设</x:v>
      </x:c>
      <x:c r="H4" s="14" t="str">
        <x:v>采购注意</x:v>
      </x:c>
      <x:c r="I4" s="14" t="str">
        <x:v>状态</x:v>
      </x:c>
      <x:c r="J4" s="14" t="str">
        <x:v>依据</x:v>
      </x:c>
    </x:row>
    <x:row r="5" ht="58" customHeight="1">
      <x:c r="A5" s="20" t="str">
        <x:v>H01</x:v>
      </x:c>
      <x:c r="B5" s="20" t="str">
        <x:v>主控</x:v>
      </x:c>
      <x:c r="C5" s="20" t="str">
        <x:v>经典 ESP32 开发板</x:v>
      </x:c>
      <x:c r="D5" s="20" t="n">
        <x:v>1</x:v>
      </x:c>
      <x:c r="E5" s="20" t="n">
        <x:v>2</x:v>
      </x:c>
      <x:c r="F5" s="20" t="str">
        <x:v>块</x:v>
      </x:c>
      <x:c r="G5" s="20" t="str">
        <x:v>ESP32-WROOM-32 系列开发板，带 USB-UART；固件为 esp32dev</x:v>
      </x:c>
      <x:c r="H5" s="20" t="str">
        <x:v>不是裸模组；C3/S3/C6 不可按现有引脚直接替代。第二块为备件。</x:v>
      </x:c>
      <x:c r="I5" s="20" t="str">
        <x:v>待确认规格</x:v>
      </x:c>
      <x:c r="J5" s="20" t="str">
        <x:v>S1,S5,S7</x:v>
      </x:c>
    </x:row>
    <x:row r="6" ht="58" customHeight="1">
      <x:c r="A6" s="20" t="str">
        <x:v>H02</x:v>
      </x:c>
      <x:c r="B6" s="20" t="str">
        <x:v>识别</x:v>
      </x:c>
      <x:c r="C6" s="20" t="str">
        <x:v>PN532 NFC SPI 模块</x:v>
      </x:c>
      <x:c r="D6" s="20" t="n">
        <x:v>1</x:v>
      </x:c>
      <x:c r="E6" s="20" t="n">
        <x:v>1</x:v>
      </x:c>
      <x:c r="F6" s="20" t="str">
        <x:v>块</x:v>
      </x:c>
      <x:c r="G6" s="20" t="str">
        <x:v>3.3V供电及逻辑兼容，支持 SPI；CAD暂按43×41mm</x:v>
      </x:c>
      <x:c r="H6" s="20" t="str">
        <x:v>先确认实购物料电压、PCB尺寸和SPI拨码；不能只按颜色买。</x:v>
      </x:c>
      <x:c r="I6" s="20" t="str">
        <x:v>待确认规格</x:v>
      </x:c>
      <x:c r="J6" s="20" t="str">
        <x:v>S1,S2,S8</x:v>
      </x:c>
    </x:row>
    <x:row r="7" ht="58" customHeight="1">
      <x:c r="A7" s="20" t="str">
        <x:v>H03</x:v>
      </x:c>
      <x:c r="B7" s="20" t="str">
        <x:v>识别</x:v>
      </x:c>
      <x:c r="C7" s="20" t="str">
        <x:v>NTAG213 可写 NFC 标签</x:v>
      </x:c>
      <x:c r="D7" s="20" t="n">
        <x:v>3</x:v>
      </x:c>
      <x:c r="E7" s="20" t="n">
        <x:v>10</x:v>
      </x:c>
      <x:c r="F7" s="20" t="str">
        <x:v>枚</x:v>
      </x:c>
      <x:c r="G7" s="20" t="str">
        <x:v>13.56MHz Type 2，未锁定；目标≤22×22mm</x:v>
      </x:c>
      <x:c r="H7" s="20" t="str">
        <x:v>每套花冠1枚；144B用户区可用于当前短记录；来源S9仅说明芯片，不是尺寸匹配采购链接。</x:v>
      </x:c>
      <x:c r="I7" s="20" t="str">
        <x:v>待确认规格</x:v>
      </x:c>
      <x:c r="J7" s="20" t="str">
        <x:v>S1,S5,S9</x:v>
      </x:c>
    </x:row>
    <x:row r="8" ht="58" customHeight="1">
      <x:c r="A8" s="20" t="str">
        <x:v>H04</x:v>
      </x:c>
      <x:c r="B8" s="20" t="str">
        <x:v>供电</x:v>
      </x:c>
      <x:c r="C8" s="20" t="str">
        <x:v>外置隔离稳压电源</x:v>
      </x:c>
      <x:c r="D8" s="20" t="n">
        <x:v>1</x:v>
      </x:c>
      <x:c r="E8" s="20" t="n">
        <x:v>1</x:v>
      </x:c>
      <x:c r="F8" s="20" t="str">
        <x:v>个</x:v>
      </x:c>
      <x:c r="G8" s="20" t="str">
        <x:v>5V/2A成品适配器；与选定输入线配套</x:v>
      </x:c>
      <x:c r="H8" s="20" t="str">
        <x:v>灯内不接市电；5V/2A是原型设计目标，不是实测功率。</x:v>
      </x:c>
      <x:c r="I8" s="20" t="str">
        <x:v>待确认规格</x:v>
      </x:c>
      <x:c r="J8" s="20" t="str">
        <x:v>S1,S2</x:v>
      </x:c>
    </x:row>
    <x:row r="9" ht="58" customHeight="1">
      <x:c r="A9" s="20" t="str">
        <x:v>H05</x:v>
      </x:c>
      <x:c r="B9" s="20" t="str">
        <x:v>供电</x:v>
      </x:c>
      <x:c r="C9" s="20" t="str">
        <x:v>保险丝座＋保险丝</x:v>
      </x:c>
      <x:c r="D9" s="20" t="n">
        <x:v>1</x:v>
      </x:c>
      <x:c r="E9" s="20" t="n">
        <x:v>1</x:v>
      </x:c>
      <x:c r="F9" s="20" t="str">
        <x:v>套</x:v>
      </x:c>
      <x:c r="G9" s="20" t="str">
        <x:v>额定1.5A作为原型起点</x:v>
      </x:c>
      <x:c r="H9" s="20" t="str">
        <x:v>需按线径、模块峰值及时间电流曲线复核，不是定型规格。</x:v>
      </x:c>
      <x:c r="I9" s="20" t="str">
        <x:v>待确认规格</x:v>
      </x:c>
      <x:c r="J9" s="20" t="str">
        <x:v>S1,S2</x:v>
      </x:c>
    </x:row>
    <x:row r="10" ht="58" customHeight="1">
      <x:c r="A10" s="20" t="str">
        <x:v>H06</x:v>
      </x:c>
      <x:c r="B10" s="20" t="str">
        <x:v>供电</x:v>
      </x:c>
      <x:c r="C10" s="20" t="str">
        <x:v>防反接保护模块</x:v>
      </x:c>
      <x:c r="D10" s="20" t="n">
        <x:v>1</x:v>
      </x:c>
      <x:c r="E10" s="20" t="n">
        <x:v>1</x:v>
      </x:c>
      <x:c r="F10" s="20" t="str">
        <x:v>块</x:v>
      </x:c>
      <x:c r="G10" s="20" t="str">
        <x:v>适用5V，按系统电流及压降选型</x:v>
      </x:c>
      <x:c r="H10" s="20" t="str">
        <x:v>核对端子极性；保护后电源分别分配，不让LED经ESP32供电走线。</x:v>
      </x:c>
      <x:c r="I10" s="20" t="str">
        <x:v>待确认规格</x:v>
      </x:c>
      <x:c r="J10" s="20" t="str">
        <x:v>S1,S2</x:v>
      </x:c>
    </x:row>
    <x:row r="11" ht="58" customHeight="1">
      <x:c r="A11" s="20" t="str">
        <x:v>H07</x:v>
      </x:c>
      <x:c r="B11" s="20" t="str">
        <x:v>照明</x:v>
      </x:c>
      <x:c r="C11" s="20" t="str">
        <x:v>限流暖白主灯模块</x:v>
      </x:c>
      <x:c r="D11" s="20" t="n">
        <x:v>1</x:v>
      </x:c>
      <x:c r="E11" s="20" t="n">
        <x:v>2</x:v>
      </x:c>
      <x:c r="F11" s="20" t="str">
        <x:v>块</x:v>
      </x:c>
      <x:c r="G11" s="20" t="str">
        <x:v>5V输入；满驱动≤150mA；外廓适配灯头</x:v>
      </x:c>
      <x:c r="H11" s="20" t="str">
        <x:v>需自带限流且支持电源PWM调光；低功耗演示，不是护眼阅读灯。第二块备用。</x:v>
      </x:c>
      <x:c r="I11" s="20" t="str">
        <x:v>待确认规格</x:v>
      </x:c>
      <x:c r="J11" s="20" t="str">
        <x:v>S1,S2</x:v>
      </x:c>
    </x:row>
    <x:row r="12" ht="58" customHeight="1">
      <x:c r="A12" s="20" t="str">
        <x:v>H08</x:v>
      </x:c>
      <x:c r="B12" s="20" t="str">
        <x:v>光影</x:v>
      </x:c>
      <x:c r="C12" s="20" t="str">
        <x:v>限流投影 LED 模块</x:v>
      </x:c>
      <x:c r="D12" s="20" t="n">
        <x:v>1</x:v>
      </x:c>
      <x:c r="E12" s="20" t="n">
        <x:v>2</x:v>
      </x:c>
      <x:c r="F12" s="20" t="str">
        <x:v>块</x:v>
      </x:c>
      <x:c r="G12" s="20" t="str">
        <x:v>5V输入；满驱动≤200mA；小发光面</x:v>
      </x:c>
      <x:c r="H12" s="20" t="str">
        <x:v>不使用裸大功率LED；先做透镜/插片光路测试，第二块备用。</x:v>
      </x:c>
      <x:c r="I12" s="20" t="str">
        <x:v>待确认规格</x:v>
      </x:c>
      <x:c r="J12" s="20" t="str">
        <x:v>S1,S2</x:v>
      </x:c>
    </x:row>
    <x:row r="13" ht="58" customHeight="1">
      <x:c r="A13" s="20" t="str">
        <x:v>H09</x:v>
      </x:c>
      <x:c r="B13" s="20" t="str">
        <x:v>驱动</x:v>
      </x:c>
      <x:c r="C13" s="20" t="str">
        <x:v>逻辑电平 N-MOSFET 驱动级</x:v>
      </x:c>
      <x:c r="D13" s="20" t="n">
        <x:v>2</x:v>
      </x:c>
      <x:c r="E13" s="20" t="n">
        <x:v>3</x:v>
      </x:c>
      <x:c r="F13" s="20" t="str">
        <x:v>路</x:v>
      </x:c>
      <x:c r="G13" s="20" t="str">
        <x:v>在VGS≤3.3V下有明确RDS(on)规格；低边PWM</x:v>
      </x:c>
      <x:c r="H13" s="20" t="str">
        <x:v>门极阈值不等于充分导通；模块已含电阻时按实际电路核对。</x:v>
      </x:c>
      <x:c r="I13" s="20" t="str">
        <x:v>待确认规格</x:v>
      </x:c>
      <x:c r="J13" s="20" t="str">
        <x:v>S1,S2</x:v>
      </x:c>
    </x:row>
    <x:row r="14" ht="58" customHeight="1">
      <x:c r="A14" s="20" t="str">
        <x:v>H10</x:v>
      </x:c>
      <x:c r="B14" s="20" t="str">
        <x:v>驱动</x:v>
      </x:c>
      <x:c r="C14" s="20" t="str">
        <x:v>100Ω 门极串联电阻</x:v>
      </x:c>
      <x:c r="D14" s="20" t="n">
        <x:v>2</x:v>
      </x:c>
      <x:c r="E14" s="20" t="n">
        <x:v>10</x:v>
      </x:c>
      <x:c r="F14" s="20" t="str">
        <x:v>只</x:v>
      </x:c>
      <x:c r="G14" s="20" t="str">
        <x:v>每路PWM一只</x:v>
      </x:c>
      <x:c r="H14" s="20" t="str">
        <x:v>裸驱动级所需；已集成时不要盲目重复。</x:v>
      </x:c>
      <x:c r="I14" s="20" t="str">
        <x:v>待确认规格</x:v>
      </x:c>
      <x:c r="J14" s="20" t="str">
        <x:v>S1,S2</x:v>
      </x:c>
    </x:row>
    <x:row r="15" ht="58" customHeight="1">
      <x:c r="A15" s="20" t="str">
        <x:v>H11</x:v>
      </x:c>
      <x:c r="B15" s="20" t="str">
        <x:v>驱动</x:v>
      </x:c>
      <x:c r="C15" s="20" t="str">
        <x:v>100kΩ 门源下拉电阻</x:v>
      </x:c>
      <x:c r="D15" s="20" t="n">
        <x:v>2</x:v>
      </x:c>
      <x:c r="E15" s="20" t="n">
        <x:v>10</x:v>
      </x:c>
      <x:c r="F15" s="20" t="str">
        <x:v>只</x:v>
      </x:c>
      <x:c r="G15" s="20" t="str">
        <x:v>每路PWM一只</x:v>
      </x:c>
      <x:c r="H15" s="20" t="str">
        <x:v>确保上电及复位时不浮空。</x:v>
      </x:c>
      <x:c r="I15" s="20" t="str">
        <x:v>待确认规格</x:v>
      </x:c>
      <x:c r="J15" s="20" t="str">
        <x:v>S1,S2</x:v>
      </x:c>
    </x:row>
    <x:row r="16" ht="58" customHeight="1">
      <x:c r="A16" s="20" t="str">
        <x:v>H12</x:v>
      </x:c>
      <x:c r="B16" s="20" t="str">
        <x:v>温度</x:v>
      </x:c>
      <x:c r="C16" s="20" t="str">
        <x:v>10kΩ B3950 NTC</x:v>
      </x:c>
      <x:c r="D16" s="20" t="n">
        <x:v>1</x:v>
      </x:c>
      <x:c r="E16" s="20" t="n">
        <x:v>3</x:v>
      </x:c>
      <x:c r="F16" s="20" t="str">
        <x:v>只</x:v>
      </x:c>
      <x:c r="G16" s="20" t="str">
        <x:v>绝缘引线，贴合被监测热点</x:v>
      </x:c>
      <x:c r="H16" s="20" t="str">
        <x:v>当前固件必须接温度采样；无效会锁灯；一个传感器不能覆盖两处独立热源。</x:v>
      </x:c>
      <x:c r="I16" s="20" t="str">
        <x:v>待确认规格</x:v>
      </x:c>
      <x:c r="J16" s="20" t="str">
        <x:v>S1,S2,S5</x:v>
      </x:c>
    </x:row>
    <x:row r="17" ht="58" customHeight="1">
      <x:c r="A17" s="20" t="str">
        <x:v>H13</x:v>
      </x:c>
      <x:c r="B17" s="20" t="str">
        <x:v>温度</x:v>
      </x:c>
      <x:c r="C17" s="20" t="str">
        <x:v>10kΩ 1%固定电阻</x:v>
      </x:c>
      <x:c r="D17" s="20" t="n">
        <x:v>1</x:v>
      </x:c>
      <x:c r="E17" s="20" t="n">
        <x:v>10</x:v>
      </x:c>
      <x:c r="F17" s="20" t="str">
        <x:v>只</x:v>
      </x:c>
      <x:c r="G17" s="20" t="str">
        <x:v>3V3→电阻→ADC34节点→NTC→GND</x:v>
      </x:c>
      <x:c r="H17" s="20" t="str">
        <x:v>不要反接分压方向；校准实际NTC与ADC。</x:v>
      </x:c>
      <x:c r="I17" s="20" t="str">
        <x:v>待确认规格</x:v>
      </x:c>
      <x:c r="J17" s="20" t="str">
        <x:v>S1,S2</x:v>
      </x:c>
    </x:row>
    <x:row r="18" ht="58" customHeight="1">
      <x:c r="A18" s="20" t="str">
        <x:v>H14</x:v>
      </x:c>
      <x:c r="B18" s="20" t="str">
        <x:v>温度</x:v>
      </x:c>
      <x:c r="C18" s="20" t="str">
        <x:v>100nF滤波电容</x:v>
      </x:c>
      <x:c r="D18" s="20" t="n">
        <x:v>1</x:v>
      </x:c>
      <x:c r="E18" s="20" t="n">
        <x:v>10</x:v>
      </x:c>
      <x:c r="F18" s="20" t="str">
        <x:v>只</x:v>
      </x:c>
      <x:c r="G18" s="20" t="str">
        <x:v>ADC34节点与GND之间</x:v>
      </x:c>
      <x:c r="H18" s="20" t="str">
        <x:v>靠近采样节点。</x:v>
      </x:c>
      <x:c r="I18" s="20" t="str">
        <x:v>待确认规格</x:v>
      </x:c>
      <x:c r="J18" s="20" t="str">
        <x:v>S1,S2</x:v>
      </x:c>
    </x:row>
    <x:row r="19" ht="58" customHeight="1">
      <x:c r="A19" s="20" t="str">
        <x:v>H15</x:v>
      </x:c>
      <x:c r="B19" s="20" t="str">
        <x:v>交互</x:v>
      </x:c>
      <x:c r="C19" s="20" t="str">
        <x:v>常开瞬时按键</x:v>
      </x:c>
      <x:c r="D19" s="20" t="n">
        <x:v>1</x:v>
      </x:c>
      <x:c r="E19" s="20" t="n">
        <x:v>2</x:v>
      </x:c>
      <x:c r="F19" s="20" t="str">
        <x:v>个</x:v>
      </x:c>
      <x:c r="G19" s="20" t="str">
        <x:v>按下接通，松开断开；CAD孔8.2mm为假设</x:v>
      </x:c>
      <x:c r="H19" s="20" t="str">
        <x:v>不是自锁开关；叶片装饰件与实际按钮帽还需适配。</x:v>
      </x:c>
      <x:c r="I19" s="20" t="str">
        <x:v>待确认规格</x:v>
      </x:c>
      <x:c r="J19" s="20" t="str">
        <x:v>S1,S2,S4</x:v>
      </x:c>
    </x:row>
    <x:row r="20" ht="58" customHeight="1">
      <x:c r="A20" s="20" t="str">
        <x:v>H16</x:v>
      </x:c>
      <x:c r="B20" s="20" t="str">
        <x:v>光学</x:v>
      </x:c>
      <x:c r="C20" s="20" t="str">
        <x:v>玻璃凸透镜</x:v>
      </x:c>
      <x:c r="D20" s="20" t="n">
        <x:v>1</x:v>
      </x:c>
      <x:c r="E20" s="20" t="n">
        <x:v>2</x:v>
      </x:c>
      <x:c r="F20" s="20" t="str">
        <x:v>片</x:v>
      </x:c>
      <x:c r="G20" s="20" t="str">
        <x:v>目标直径25mm，名义焦距约35mm</x:v>
      </x:c>
      <x:c r="H20" s="20" t="str">
        <x:v>厚度/焦距/可用口径需实测；不使用普通透明树脂打印件当镜片。</x:v>
      </x:c>
      <x:c r="I20" s="20" t="str">
        <x:v>待确认规格</x:v>
      </x:c>
      <x:c r="J20" s="20" t="str">
        <x:v>S1,S3</x:v>
      </x:c>
    </x:row>
    <x:row r="21" ht="58" customHeight="1">
      <x:c r="A21" s="20" t="str">
        <x:v>H17</x:v>
      </x:c>
      <x:c r="B21" s="20" t="str">
        <x:v>光学</x:v>
      </x:c>
      <x:c r="C21" s="20" t="str">
        <x:v>扩散片</x:v>
      </x:c>
      <x:c r="D21" s="20" t="n">
        <x:v>1</x:v>
      </x:c>
      <x:c r="E21" s="20" t="n">
        <x:v>2</x:v>
      </x:c>
      <x:c r="F21" s="20" t="str">
        <x:v>片</x:v>
      </x:c>
      <x:c r="G21" s="20" t="str">
        <x:v>目标直径55.5mm；按实际卡位裁切</x:v>
      </x:c>
      <x:c r="H21" s="20" t="str">
        <x:v>选择适合实际温度的扩散材料；现有STL无独立可靠的扩散片锁定件。</x:v>
      </x:c>
      <x:c r="I21" s="20" t="str">
        <x:v>待确认规格</x:v>
      </x:c>
      <x:c r="J21" s="20" t="str">
        <x:v>S1,S3,S4</x:v>
      </x:c>
    </x:row>
    <x:row r="22" ht="58" customHeight="1">
      <x:c r="A22" s="20" t="str">
        <x:v>H18</x:v>
      </x:c>
      <x:c r="B22" s="20" t="str">
        <x:v>结构</x:v>
      </x:c>
      <x:c r="C22" s="20" t="str">
        <x:v>金属灯杆</x:v>
      </x:c>
      <x:c r="D22" s="20" t="n">
        <x:v>1</x:v>
      </x:c>
      <x:c r="E22" s="20" t="n">
        <x:v>2</x:v>
      </x:c>
      <x:c r="F22" s="20" t="str">
        <x:v>根</x:v>
      </x:c>
      <x:c r="G22" s="20" t="str">
        <x:v>外径12/内径8/长度174mm</x:v>
      </x:c>
      <x:c r="H22" s="20" t="str">
        <x:v>去毛刺、加护线；第二根备件；不能按整灯比例随意缩放模型。</x:v>
      </x:c>
      <x:c r="I22" s="20" t="str">
        <x:v>待确认规格</x:v>
      </x:c>
      <x:c r="J22" s="20" t="str">
        <x:v>S1,S3</x:v>
      </x:c>
    </x:row>
    <x:row r="23" ht="58" customHeight="1">
      <x:c r="A23" s="20" t="str">
        <x:v>H19</x:v>
      </x:c>
      <x:c r="B23" s="20" t="str">
        <x:v>五金</x:v>
      </x:c>
      <x:c r="C23" s="20" t="str">
        <x:v>M3螺丝螺母垫片套装</x:v>
      </x:c>
      <x:c r="D23" s="20" t="n">
        <x:v>1</x:v>
      </x:c>
      <x:c r="E23" s="20" t="n">
        <x:v>1</x:v>
      </x:c>
      <x:c r="F23" s="20" t="str">
        <x:v>套</x:v>
      </x:c>
      <x:c r="G23" s="20" t="str">
        <x:v>包含M3×10、M3×35、M3×45等；花冠压环3颗</x:v>
      </x:c>
      <x:c r="H23" s="20" t="str">
        <x:v>可各规格备10颗；最终长度按实物堆叠厚度确定；底盖固定方式需复核。</x:v>
      </x:c>
      <x:c r="I23" s="20" t="str">
        <x:v>待确认规格</x:v>
      </x:c>
      <x:c r="J23" s="20" t="str">
        <x:v>S1,S3,S4</x:v>
      </x:c>
    </x:row>
    <x:row r="24" ht="58" customHeight="1">
      <x:c r="A24" s="20" t="str">
        <x:v>H20</x:v>
      </x:c>
      <x:c r="B24" s="20" t="str">
        <x:v>五金</x:v>
      </x:c>
      <x:c r="C24" s="20" t="str">
        <x:v>尼龙支柱与绝缘垫片</x:v>
      </x:c>
      <x:c r="D24" s="20" t="n">
        <x:v>1</x:v>
      </x:c>
      <x:c r="E24" s="20" t="n">
        <x:v>1</x:v>
      </x:c>
      <x:c r="F24" s="20" t="str">
        <x:v>套</x:v>
      </x:c>
      <x:c r="G24" s="20" t="str">
        <x:v>按实购开发板、PN532、灯板孔位选型</x:v>
      </x:c>
      <x:c r="H24" s="20" t="str">
        <x:v>使PCB离开壳体；天线附近减少金属。</x:v>
      </x:c>
      <x:c r="I24" s="20" t="str">
        <x:v>待确认规格</x:v>
      </x:c>
      <x:c r="J24" s="20" t="str">
        <x:v>S3,S4；本次细化</x:v>
      </x:c>
    </x:row>
    <x:row r="25" ht="58" customHeight="1">
      <x:c r="A25" s="20" t="str">
        <x:v>H21</x:v>
      </x:c>
      <x:c r="B25" s="20" t="str">
        <x:v>固定</x:v>
      </x:c>
      <x:c r="C25" s="20" t="str">
        <x:v>底座配重</x:v>
      </x:c>
      <x:c r="D25" s="20" t="n">
        <x:v>1</x:v>
      </x:c>
      <x:c r="E25" s="20" t="n">
        <x:v>1</x:v>
      </x:c>
      <x:c r="F25" s="20" t="str">
        <x:v>套</x:v>
      </x:c>
      <x:c r="G25" s="20" t="str">
        <x:v>绝缘封装并可靠固定的配重</x:v>
      </x:c>
      <x:c r="H25" s="20" t="str">
        <x:v>无固定质量承诺；需按实际花冠质量、重心和倾倒试验确定。</x:v>
      </x:c>
      <x:c r="I25" s="20" t="str">
        <x:v>待确认规格</x:v>
      </x:c>
      <x:c r="J25" s="20" t="str">
        <x:v>S1,S3</x:v>
      </x:c>
    </x:row>
    <x:row r="26" ht="58" customHeight="1">
      <x:c r="A26" s="20" t="str">
        <x:v>H22</x:v>
      </x:c>
      <x:c r="B26" s="20" t="str">
        <x:v>固定</x:v>
      </x:c>
      <x:c r="C26" s="20" t="str">
        <x:v>防滑脚垫</x:v>
      </x:c>
      <x:c r="D26" s="20" t="n">
        <x:v>4</x:v>
      </x:c>
      <x:c r="E26" s="20" t="n">
        <x:v>8</x:v>
      </x:c>
      <x:c r="F26" s="20" t="str">
        <x:v>个</x:v>
      </x:c>
      <x:c r="G26" s="20" t="str">
        <x:v>底座用4个；可为分体投影附件另备4个</x:v>
      </x:c>
      <x:c r="H26" s="20" t="str">
        <x:v>4/8为本次采购建议，不是原BOM既定数量。</x:v>
      </x:c>
      <x:c r="I26" s="20" t="str">
        <x:v>待确认规格</x:v>
      </x:c>
      <x:c r="J26" s="20" t="str">
        <x:v>S1；本次细化</x:v>
      </x:c>
    </x:row>
    <x:row r="27" ht="58" customHeight="1">
      <x:c r="A27" s="20" t="str">
        <x:v>H23</x:v>
      </x:c>
      <x:c r="B27" s="20" t="str">
        <x:v>布线</x:v>
      </x:c>
      <x:c r="C27" s="20" t="str">
        <x:v>电源输入线/连接器</x:v>
      </x:c>
      <x:c r="D27" s="20" t="n">
        <x:v>1</x:v>
      </x:c>
      <x:c r="E27" s="20" t="n">
        <x:v>1</x:v>
      </x:c>
      <x:c r="F27" s="20" t="str">
        <x:v>套</x:v>
      </x:c>
      <x:c r="G27" s="20" t="str">
        <x:v>配套5V适配器，匹配9mm线缆出口及应力释放</x:v>
      </x:c>
      <x:c r="H27" s="20" t="str">
        <x:v>新增明确列项；USB-C受电板涉及识别电阻/电源管理，不能盲接。</x:v>
      </x:c>
      <x:c r="I27" s="20" t="str">
        <x:v>待确认规格</x:v>
      </x:c>
      <x:c r="J27" s="20" t="str">
        <x:v>S1,S4；本次细化</x:v>
      </x:c>
    </x:row>
    <x:row r="28" ht="58" customHeight="1">
      <x:c r="A28" s="20" t="str">
        <x:v>H24</x:v>
      </x:c>
      <x:c r="B28" s="20" t="str">
        <x:v>布线</x:v>
      </x:c>
      <x:c r="C28" s="20" t="str">
        <x:v>分体投影两芯线束</x:v>
      </x:c>
      <x:c r="D28" s="20" t="n">
        <x:v>1</x:v>
      </x:c>
      <x:c r="E28" s="20" t="n">
        <x:v>2</x:v>
      </x:c>
      <x:c r="F28" s="20" t="str">
        <x:v>套</x:v>
      </x:c>
      <x:c r="G28" s="20" t="str">
        <x:v>低边驱动的LED＋/－连接；可锁紧端子</x:v>
      </x:c>
      <x:c r="H28" s="20" t="str">
        <x:v>投影组件不在底座内；线长按桌面布局确定。</x:v>
      </x:c>
      <x:c r="I28" s="20" t="str">
        <x:v>待确认规格</x:v>
      </x:c>
      <x:c r="J28" s="20" t="str">
        <x:v>S2,S3；本次细化</x:v>
      </x:c>
    </x:row>
    <x:row r="29" ht="58" customHeight="1">
      <x:c r="A29" s="20" t="str">
        <x:v>H25</x:v>
      </x:c>
      <x:c r="B29" s="20" t="str">
        <x:v>布线</x:v>
      </x:c>
      <x:c r="C29" s="20" t="str">
        <x:v>导线、热缩管、端子、护线圈、扎带</x:v>
      </x:c>
      <x:c r="D29" s="20" t="n">
        <x:v>1</x:v>
      </x:c>
      <x:c r="E29" s="20" t="n">
        <x:v>1</x:v>
      </x:c>
      <x:c r="F29" s="20" t="str">
        <x:v>套</x:v>
      </x:c>
      <x:c r="G29" s="20" t="str">
        <x:v>主电源线径与保险丝/长度/温升匹配；信号线分色</x:v>
      </x:c>
      <x:c r="H29" s="20" t="str">
        <x:v>灯杆穿线保护必做；正式演示不留裸杜邦接点。</x:v>
      </x:c>
      <x:c r="I29" s="20" t="str">
        <x:v>待确认规格</x:v>
      </x:c>
      <x:c r="J29" s="20" t="str">
        <x:v>S1,S2,S3</x:v>
      </x:c>
    </x:row>
    <x:row r="30" ht="58" customHeight="1">
      <x:c r="A30" s="20" t="str">
        <x:v>H26</x:v>
      </x:c>
      <x:c r="B30" s="20" t="str">
        <x:v>装配</x:v>
      </x:c>
      <x:c r="C30" s="20" t="str">
        <x:v>焊接洞洞板/小型连接板</x:v>
      </x:c>
      <x:c r="D30" s="20" t="n">
        <x:v>1</x:v>
      </x:c>
      <x:c r="E30" s="20" t="n">
        <x:v>2</x:v>
      </x:c>
      <x:c r="F30" s="20" t="str">
        <x:v>块</x:v>
      </x:c>
      <x:c r="G30" s="20" t="str">
        <x:v>固定两路驱动和接线；配绝缘安装</x:v>
      </x:c>
      <x:c r="H30" s="20" t="str">
        <x:v>原型为模块化接线，无定制PCB Gerber。</x:v>
      </x:c>
      <x:c r="I30" s="20" t="str">
        <x:v>待确认规格</x:v>
      </x:c>
      <x:c r="J30" s="20" t="str">
        <x:v>S1；本次细化</x:v>
      </x:c>
    </x:row>
    <x:row r="31" ht="58" customHeight="1">
      <x:c r="A31" s="20" t="str">
        <x:v>H27</x:v>
      </x:c>
      <x:c r="B31" s="20" t="str">
        <x:v>热管理</x:v>
      </x:c>
      <x:c r="C31" s="20" t="str">
        <x:v>灯板固定与散热辅料</x:v>
      </x:c>
      <x:c r="D31" s="20" t="n">
        <x:v>1</x:v>
      </x:c>
      <x:c r="E31" s="20" t="n">
        <x:v>1</x:v>
      </x:c>
      <x:c r="F31" s="20" t="str">
        <x:v>套</x:v>
      </x:c>
      <x:c r="G31" s="20" t="str">
        <x:v>按实购灯板选择铝散热片、导热垫、绝缘固定</x:v>
      </x:c>
      <x:c r="H31" s="20" t="str">
        <x:v>热源不能靠塑料承担散热；不能挡住PN532天线。</x:v>
      </x:c>
      <x:c r="I31" s="20" t="str">
        <x:v>待确认规格</x:v>
      </x:c>
      <x:c r="J31" s="20" t="str">
        <x:v>S2,S3；本次适配项</x:v>
      </x:c>
    </x:row>
    <x:row r="32" ht="58" customHeight="1">
      <x:c r="A32" s="20" t="str">
        <x:v>H28</x:v>
      </x:c>
      <x:c r="B32" s="20" t="str">
        <x:v>开发</x:v>
      </x:c>
      <x:c r="C32" s="20" t="str">
        <x:v>USB数据线</x:v>
      </x:c>
      <x:c r="D32" s="20" t="n">
        <x:v>1</x:v>
      </x:c>
      <x:c r="E32" s="20" t="n">
        <x:v>1</x:v>
      </x:c>
      <x:c r="F32" s="20" t="str">
        <x:v>根</x:v>
      </x:c>
      <x:c r="G32" s="20" t="str">
        <x:v>与ESP32 USB接口匹配，支持数据</x:v>
      </x:c>
      <x:c r="H32" s="20" t="str">
        <x:v>USB烧录供电与外置5V不得直接互灌。</x:v>
      </x:c>
      <x:c r="I32" s="20" t="str">
        <x:v>待确认规格</x:v>
      </x:c>
      <x:c r="J32" s="20" t="str">
        <x:v>S2,S7</x:v>
      </x:c>
    </x:row>
  </x:sheetData>
  <x:mergeCells>
    <x:mergeCell ref="A1:J1"/>
    <x:mergeCell ref="A2:J2"/>
  </x:mergeCells>
  <x:dataValidations count="1">
    <x:dataValidation type="list" sqref="I5:I32">
      <x:formula1>"待确认规格,待采购,已下单,已到货,已验证,暂缓"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eb633b8cfc4c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4" hidden="0" customWidth="1"/>
    <x:col min="4" max="4" width="29" hidden="0" customWidth="1"/>
    <x:col min="5" max="5" width="10" hidden="0" customWidth="1"/>
    <x:col min="6" max="6" width="24" hidden="0" customWidth="1"/>
    <x:col min="7" max="7" width="45" hidden="0" customWidth="1"/>
    <x:col min="8" max="8" width="38" hidden="0" customWidth="1"/>
    <x:col min="9" max="9" width="16" hidden="0" customWidth="1"/>
    <x:col min="10" max="10" width="12" hidden="0" customWidth="1"/>
  </x:cols>
  <x:sheetData>
    <x:row r="1" ht="34" customHeight="1">
      <x:c r="A1" s="3" t="str">
        <x:v>BLOOM | 17种STL打印清单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8" customHeight="1">
      <x:c r="A2" s="8" t="str">
        <x:v>尺寸为本次读取STL的X×Y×Z包围盒，单位mm；不是成品实测。17件=15件展示零件＋2件测试片；不要整体缩放。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8" customHeight="1">
      <x:c r="A4" s="14" t="str">
        <x:v>编号</x:v>
      </x:c>
      <x:c r="B4" s="14" t="str">
        <x:v>分类</x:v>
      </x:c>
      <x:c r="C4" s="14" t="str">
        <x:v>零件</x:v>
      </x:c>
      <x:c r="D4" s="14" t="str">
        <x:v>实际文件名</x:v>
      </x:c>
      <x:c r="E4" s="14" t="str">
        <x:v>首轮数量</x:v>
      </x:c>
      <x:c r="F4" s="14" t="str">
        <x:v>包围盒 mm</x:v>
      </x:c>
      <x:c r="G4" s="14" t="str">
        <x:v>用途/适配注意</x:v>
      </x:c>
      <x:c r="H4" s="14" t="str">
        <x:v>材料/工艺要求</x:v>
      </x:c>
      <x:c r="I4" s="14" t="str">
        <x:v>状态</x:v>
      </x:c>
      <x:c r="J4" s="14" t="str">
        <x:v>依据</x:v>
      </x:c>
    </x:row>
    <x:row r="5" ht="58" customHeight="1">
      <x:c r="A5" s="20" t="str">
        <x:v>P01</x:v>
      </x:c>
      <x:c r="B5" s="20" t="str">
        <x:v>测试件</x:v>
      </x:c>
      <x:c r="C5" s="20" t="str">
        <x:v>灯杆孔径测试片</x:v>
      </x:c>
      <x:c r="D5" s="20" t="str">
        <x:v>fit_coupon.stl</x:v>
      </x:c>
      <x:c r="E5" s="20" t="n">
        <x:v>1</x:v>
      </x:c>
      <x:c r="F5" s="20" t="str">
        <x:v>112 × 42 × 4.6</x:v>
      </x:c>
      <x:c r="G5" s="20" t="str">
        <x:v>12.2/12.4/12.6mm孔配合；先印</x:v>
      </x:c>
      <x:c r="H5" s="20" t="str">
        <x:v>与实际结构件同材料同后处理</x:v>
      </x:c>
      <x:c r="I5" s="20" t="str">
        <x:v>未实物验证</x:v>
      </x:c>
      <x:c r="J5" s="20" t="str">
        <x:v>S3,S4,S6</x:v>
      </x:c>
    </x:row>
    <x:row r="6" ht="58" customHeight="1">
      <x:c r="A6" s="20" t="str">
        <x:v>P02</x:v>
      </x:c>
      <x:c r="B6" s="20" t="str">
        <x:v>测试件</x:v>
      </x:c>
      <x:c r="C6" s="20" t="str">
        <x:v>花冠接口测试片</x:v>
      </x:c>
      <x:c r="D6" s="20" t="str">
        <x:v>crown_coupon.stl</x:v>
      </x:c>
      <x:c r="E6" s="20" t="n">
        <x:v>1</x:v>
      </x:c>
      <x:c r="F6" s="20" t="str">
        <x:v>92 × 46 × 4</x:v>
      </x:c>
      <x:c r="G6" s="20" t="str">
        <x:v>中心孔76mm半环；与灯头配合测试</x:v>
      </x:c>
      <x:c r="H6" s="20" t="str">
        <x:v>与花冠同材料同后处理</x:v>
      </x:c>
      <x:c r="I6" s="20" t="str">
        <x:v>未实物验证</x:v>
      </x:c>
      <x:c r="J6" s="20" t="str">
        <x:v>S3,S4,S6</x:v>
      </x:c>
    </x:row>
    <x:row r="7" ht="58" customHeight="1">
      <x:c r="A7" s="20" t="str">
        <x:v>P03</x:v>
      </x:c>
      <x:c r="B7" s="20" t="str">
        <x:v>灯体</x:v>
      </x:c>
      <x:c r="C7" s="20" t="str">
        <x:v>底座外壳</x:v>
      </x:c>
      <x:c r="D7" s="20" t="str">
        <x:v>base_shell.stl</x:v>
      </x:c>
      <x:c r="E7" s="20" t="n">
        <x:v>1</x:v>
      </x:c>
      <x:c r="F7" s="20" t="str">
        <x:v>140 × 140 × 54</x:v>
      </x:c>
      <x:c r="G7" s="20" t="str">
        <x:v>直径140mm；54mm总高含夹持座；本体34mm</x:v>
      </x:c>
      <x:c r="H7" s="20" t="str">
        <x:v>结构原型材料；确认夹持强度和温升</x:v>
      </x:c>
      <x:c r="I7" s="20" t="str">
        <x:v>未实物验证</x:v>
      </x:c>
      <x:c r="J7" s="20" t="str">
        <x:v>S3,S4,S6</x:v>
      </x:c>
    </x:row>
    <x:row r="8" ht="58" customHeight="1">
      <x:c r="A8" s="20" t="str">
        <x:v>P04</x:v>
      </x:c>
      <x:c r="B8" s="20" t="str">
        <x:v>灯体</x:v>
      </x:c>
      <x:c r="C8" s="20" t="str">
        <x:v>底盖</x:v>
      </x:c>
      <x:c r="D8" s="20" t="str">
        <x:v>base_lid.stl</x:v>
      </x:c>
      <x:c r="E8" s="20" t="n">
        <x:v>1</x:v>
      </x:c>
      <x:c r="F8" s="20" t="str">
        <x:v>132.5 × 132.5 × 3</x:v>
      </x:c>
      <x:c r="G8" s="20" t="str">
        <x:v>电子固定、配重和脚垫安装</x:v>
      </x:c>
      <x:c r="H8" s="20" t="str">
        <x:v>结构原型材料；固定方式待复核</x:v>
      </x:c>
      <x:c r="I8" s="20" t="str">
        <x:v>需先适配</x:v>
      </x:c>
      <x:c r="J8" s="20" t="str">
        <x:v>S3,S4,S6</x:v>
      </x:c>
    </x:row>
    <x:row r="9" ht="58" customHeight="1">
      <x:c r="A9" s="20" t="str">
        <x:v>P05</x:v>
      </x:c>
      <x:c r="B9" s="20" t="str">
        <x:v>灯体</x:v>
      </x:c>
      <x:c r="C9" s="20" t="str">
        <x:v>灯头核心及NFC侧翼</x:v>
      </x:c>
      <x:c r="D9" s="20" t="str">
        <x:v>head_core.stl</x:v>
      </x:c>
      <x:c r="E9" s="20" t="n">
        <x:v>1</x:v>
      </x:c>
      <x:c r="F9" s="20" t="str">
        <x:v>96 × 126.5 × 32</x:v>
      </x:c>
      <x:c r="G9" s="20" t="str">
        <x:v>PCB尺寸按实物修改；灯板与扩散片待适配</x:v>
      </x:c>
      <x:c r="H9" s="20" t="str">
        <x:v>按受热与力学要求选工程材料</x:v>
      </x:c>
      <x:c r="I9" s="20" t="str">
        <x:v>需先适配</x:v>
      </x:c>
      <x:c r="J9" s="20" t="str">
        <x:v>S3,S4,S6</x:v>
      </x:c>
    </x:row>
    <x:row r="10" ht="58" customHeight="1">
      <x:c r="A10" s="20" t="str">
        <x:v>P06</x:v>
      </x:c>
      <x:c r="B10" s="20" t="str">
        <x:v>灯体</x:v>
      </x:c>
      <x:c r="C10" s="20" t="str">
        <x:v>灯杆连接座</x:v>
      </x:c>
      <x:c r="D10" s="20" t="str">
        <x:v>head_socket.stl</x:v>
      </x:c>
      <x:c r="E10" s="20" t="n">
        <x:v>1</x:v>
      </x:c>
      <x:c r="F10" s="20" t="str">
        <x:v>46 × 50 × 24</x:v>
      </x:c>
      <x:c r="G10" s="20" t="str">
        <x:v>12.4mm名义孔；螺丝和止退需实测</x:v>
      </x:c>
      <x:c r="H10" s="20" t="str">
        <x:v>韧性结构材料；不可强拧脆性树脂</x:v>
      </x:c>
      <x:c r="I10" s="20" t="str">
        <x:v>未实物验证</x:v>
      </x:c>
      <x:c r="J10" s="20" t="str">
        <x:v>S3,S4,S6</x:v>
      </x:c>
    </x:row>
    <x:row r="11" ht="58" customHeight="1">
      <x:c r="A11" s="20" t="str">
        <x:v>P07</x:v>
      </x:c>
      <x:c r="B11" s="20" t="str">
        <x:v>灯体</x:v>
      </x:c>
      <x:c r="C11" s="20" t="str">
        <x:v>花冠固定压环</x:v>
      </x:c>
      <x:c r="D11" s="20" t="str">
        <x:v>retainer.stl</x:v>
      </x:c>
      <x:c r="E11" s="20" t="n">
        <x:v>1</x:v>
      </x:c>
      <x:c r="F11" s="20" t="str">
        <x:v>86 × 86 × 3</x:v>
      </x:c>
      <x:c r="G11" s="20" t="str">
        <x:v>中心孔56mm、外径86mm、3×M3</x:v>
      </x:c>
      <x:c r="H11" s="20" t="str">
        <x:v>韧性结构材料；加垫片均匀压紧</x:v>
      </x:c>
      <x:c r="I11" s="20" t="str">
        <x:v>未实物验证</x:v>
      </x:c>
      <x:c r="J11" s="20" t="str">
        <x:v>S3,S4,S6</x:v>
      </x:c>
    </x:row>
    <x:row r="12" ht="58" customHeight="1">
      <x:c r="A12" s="20" t="str">
        <x:v>P08</x:v>
      </x:c>
      <x:c r="B12" s="20" t="str">
        <x:v>灯体</x:v>
      </x:c>
      <x:c r="C12" s="20" t="str">
        <x:v>叶片按键外观件</x:v>
      </x:c>
      <x:c r="D12" s="20" t="str">
        <x:v>leaf_button.stl</x:v>
      </x:c>
      <x:c r="E12" s="20" t="n">
        <x:v>1</x:v>
      </x:c>
      <x:c r="F12" s="20" t="str">
        <x:v>33.2 × 11.2 × 4.4</x:v>
      </x:c>
      <x:c r="G12" s="20" t="str">
        <x:v>需匹配实际按钮帽和行程</x:v>
      </x:c>
      <x:c r="H12" s="20" t="str">
        <x:v>外观材料；不代替真正开关</x:v>
      </x:c>
      <x:c r="I12" s="20" t="str">
        <x:v>需先适配</x:v>
      </x:c>
      <x:c r="J12" s="20" t="str">
        <x:v>S3,S4,S6</x:v>
      </x:c>
    </x:row>
    <x:row r="13" ht="58" customHeight="1">
      <x:c r="A13" s="20" t="str">
        <x:v>P09</x:v>
      </x:c>
      <x:c r="B13" s="20" t="str">
        <x:v>外装</x:v>
      </x:c>
      <x:c r="C13" s="20" t="str">
        <x:v>向日葵花冠</x:v>
      </x:c>
      <x:c r="D13" s="20" t="str">
        <x:v>crown_sunflower.stl</x:v>
      </x:c>
      <x:c r="E13" s="20" t="n">
        <x:v>1</x:v>
      </x:c>
      <x:c r="F13" s="20" t="str">
        <x:v>188.62 × 189.61 × 7</x:v>
      </x:c>
      <x:c r="G13" s="20" t="str">
        <x:v>参数化示例；不是Tripo实物成果</x:v>
      </x:c>
      <x:c r="H13" s="20" t="str">
        <x:v>可先做轻量化；标签贴背面</x:v>
      </x:c>
      <x:c r="I13" s="20" t="str">
        <x:v>未实物验证</x:v>
      </x:c>
      <x:c r="J13" s="20" t="str">
        <x:v>S3,S4,S6</x:v>
      </x:c>
    </x:row>
    <x:row r="14" ht="58" customHeight="1">
      <x:c r="A14" s="20" t="str">
        <x:v>P10</x:v>
      </x:c>
      <x:c r="B14" s="20" t="str">
        <x:v>外装</x:v>
      </x:c>
      <x:c r="C14" s="20" t="str">
        <x:v>森林花冠</x:v>
      </x:c>
      <x:c r="D14" s="20" t="str">
        <x:v>crown_forest.stl</x:v>
      </x:c>
      <x:c r="E14" s="20" t="n">
        <x:v>1</x:v>
      </x:c>
      <x:c r="F14" s="20" t="str">
        <x:v>188.67 × 188.67 × 7</x:v>
      </x:c>
      <x:c r="G14" s="20" t="str">
        <x:v>参数化示例；共用76mm接口</x:v>
      </x:c>
      <x:c r="H14" s="20" t="str">
        <x:v>花冠材料与试片一致</x:v>
      </x:c>
      <x:c r="I14" s="20" t="str">
        <x:v>未实物验证</x:v>
      </x:c>
      <x:c r="J14" s="20" t="str">
        <x:v>S3,S4,S6</x:v>
      </x:c>
    </x:row>
    <x:row r="15" ht="58" customHeight="1">
      <x:c r="A15" s="20" t="str">
        <x:v>P11</x:v>
      </x:c>
      <x:c r="B15" s="20" t="str">
        <x:v>外装</x:v>
      </x:c>
      <x:c r="C15" s="20" t="str">
        <x:v>星夜花冠</x:v>
      </x:c>
      <x:c r="D15" s="20" t="str">
        <x:v>crown_stars.stl</x:v>
      </x:c>
      <x:c r="E15" s="20" t="n">
        <x:v>1</x:v>
      </x:c>
      <x:c r="F15" s="20" t="str">
        <x:v>172.99 × 172.99 × 6.98</x:v>
      </x:c>
      <x:c r="G15" s="20" t="str">
        <x:v>参数化示例；共用76mm接口</x:v>
      </x:c>
      <x:c r="H15" s="20" t="str">
        <x:v>花冠材料与试片一致</x:v>
      </x:c>
      <x:c r="I15" s="20" t="str">
        <x:v>未实物验证</x:v>
      </x:c>
      <x:c r="J15" s="20" t="str">
        <x:v>S3,S4,S6</x:v>
      </x:c>
    </x:row>
    <x:row r="16" ht="58" customHeight="1">
      <x:c r="A16" s="20" t="str">
        <x:v>P12</x:v>
      </x:c>
      <x:c r="B16" s="20" t="str">
        <x:v>投影</x:v>
      </x:c>
      <x:c r="C16" s="20" t="str">
        <x:v>投影筒</x:v>
      </x:c>
      <x:c r="D16" s="20" t="str">
        <x:v>gobo_body.stl</x:v>
      </x:c>
      <x:c r="E16" s="20" t="n">
        <x:v>1</x:v>
      </x:c>
      <x:c r="F16" s="20" t="str">
        <x:v>42 × 42 × 55</x:v>
      </x:c>
      <x:c r="G16" s="20" t="str">
        <x:v>LED＋插片＋滑动镜筒；源安装需适配</x:v>
      </x:c>
      <x:c r="H16" s="20" t="str">
        <x:v>不透光、耐温要求按实测选材</x:v>
      </x:c>
      <x:c r="I16" s="20" t="str">
        <x:v>未实物验证</x:v>
      </x:c>
      <x:c r="J16" s="20" t="str">
        <x:v>S3,S4,S6</x:v>
      </x:c>
    </x:row>
    <x:row r="17" ht="58" customHeight="1">
      <x:c r="A17" s="20" t="str">
        <x:v>P13</x:v>
      </x:c>
      <x:c r="B17" s="20" t="str">
        <x:v>投影</x:v>
      </x:c>
      <x:c r="C17" s="20" t="str">
        <x:v>调焦镜筒</x:v>
      </x:c>
      <x:c r="D17" s="20" t="str">
        <x:v>lens_holder.stl</x:v>
      </x:c>
      <x:c r="E17" s="20" t="n">
        <x:v>1</x:v>
      </x:c>
      <x:c r="F17" s="20" t="str">
        <x:v>37 × 37 × 25</x:v>
      </x:c>
      <x:c r="G17" s="20" t="str">
        <x:v>32mm筒身；镜片台阶25.4mm</x:v>
      </x:c>
      <x:c r="H17" s="20" t="str">
        <x:v>不透光；检查滑动间隙与锁紧</x:v>
      </x:c>
      <x:c r="I17" s="20" t="str">
        <x:v>未实物验证</x:v>
      </x:c>
      <x:c r="J17" s="20" t="str">
        <x:v>S3,S4,S6</x:v>
      </x:c>
    </x:row>
    <x:row r="18" ht="58" customHeight="1">
      <x:c r="A18" s="20" t="str">
        <x:v>P14</x:v>
      </x:c>
      <x:c r="B18" s="20" t="str">
        <x:v>投影</x:v>
      </x:c>
      <x:c r="C18" s="20" t="str">
        <x:v>镜片压环</x:v>
      </x:c>
      <x:c r="D18" s="20" t="str">
        <x:v>lens_retainer.stl</x:v>
      </x:c>
      <x:c r="E18" s="20" t="n">
        <x:v>1</x:v>
      </x:c>
      <x:c r="F18" s="20" t="str">
        <x:v>29.5 × 29.5 × 1.5</x:v>
      </x:c>
      <x:c r="G18" s="20" t="str">
        <x:v>没有独立锁定接口，需补锁定/适配</x:v>
      </x:c>
      <x:c r="H18" s="20" t="str">
        <x:v>不能只放上去就声称可靠固定</x:v>
      </x:c>
      <x:c r="I18" s="20" t="str">
        <x:v>需先适配</x:v>
      </x:c>
      <x:c r="J18" s="20" t="str">
        <x:v>S3,S4,S6</x:v>
      </x:c>
    </x:row>
    <x:row r="19" ht="58" customHeight="1">
      <x:c r="A19" s="20" t="str">
        <x:v>P15</x:v>
      </x:c>
      <x:c r="B19" s="20" t="str">
        <x:v>投影</x:v>
      </x:c>
      <x:c r="C19" s="20" t="str">
        <x:v>分体投影支架</x:v>
      </x:c>
      <x:c r="D19" s="20" t="str">
        <x:v>projector_cradle.stl</x:v>
      </x:c>
      <x:c r="E19" s="20" t="n">
        <x:v>1</x:v>
      </x:c>
      <x:c r="F19" s="20" t="str">
        <x:v>54 × 54 × 29.78</x:v>
      </x:c>
      <x:c r="G19" s="20" t="str">
        <x:v>下部几何低于底板，桌面接触/姿态需修订</x:v>
      </x:c>
      <x:c r="H19" s="20" t="str">
        <x:v>修正底面后再作结构打印</x:v>
      </x:c>
      <x:c r="I19" s="20" t="str">
        <x:v>需先适配</x:v>
      </x:c>
      <x:c r="J19" s="20" t="str">
        <x:v>S3,S4,S6</x:v>
      </x:c>
    </x:row>
    <x:row r="20" ht="58" customHeight="1">
      <x:c r="A20" s="20" t="str">
        <x:v>P16</x:v>
      </x:c>
      <x:c r="B20" s="20" t="str">
        <x:v>光影片</x:v>
      </x:c>
      <x:c r="C20" s="20" t="str">
        <x:v>树影插片</x:v>
      </x:c>
      <x:c r="D20" s="20" t="str">
        <x:v>gobo_forest.stl</x:v>
      </x:c>
      <x:c r="E20" s="20" t="n">
        <x:v>1</x:v>
      </x:c>
      <x:c r="F20" s="20" t="str">
        <x:v>30 × 43 × 1.2</x:v>
      </x:c>
      <x:c r="G20" s="20" t="str">
        <x:v>主体30×34mm；含抽取柄总长43mm</x:v>
      </x:c>
      <x:c r="H20" s="20" t="str">
        <x:v>不透光；薄片强度和温升需验</x:v>
      </x:c>
      <x:c r="I20" s="20" t="str">
        <x:v>未实物验证</x:v>
      </x:c>
      <x:c r="J20" s="20" t="str">
        <x:v>S3,S4,S6</x:v>
      </x:c>
    </x:row>
    <x:row r="21" ht="58" customHeight="1">
      <x:c r="A21" s="20" t="str">
        <x:v>P17</x:v>
      </x:c>
      <x:c r="B21" s="20" t="str">
        <x:v>光影片</x:v>
      </x:c>
      <x:c r="C21" s="20" t="str">
        <x:v>星点插片</x:v>
      </x:c>
      <x:c r="D21" s="20" t="str">
        <x:v>gobo_stars.stl</x:v>
      </x:c>
      <x:c r="E21" s="20" t="n">
        <x:v>1</x:v>
      </x:c>
      <x:c r="F21" s="20" t="str">
        <x:v>30 × 43 × 1.2</x:v>
      </x:c>
      <x:c r="G21" s="20" t="str">
        <x:v>主体30×34mm；含抽取柄总长43mm</x:v>
      </x:c>
      <x:c r="H21" s="20" t="str">
        <x:v>不透光；按切片结果检查细孔</x:v>
      </x:c>
      <x:c r="I21" s="20" t="str">
        <x:v>未实物验证</x:v>
      </x:c>
      <x:c r="J21" s="20" t="str">
        <x:v>S3,S4,S6</x:v>
      </x:c>
    </x:row>
  </x:sheetData>
  <x:mergeCells>
    <x:mergeCell ref="A1:J1"/>
    <x:mergeCell ref="A2:J2"/>
  </x:mergeCells>
  <x:dataValidations count="1">
    <x:dataValidation type="list" sqref="I5:I21">
      <x:formula1>"未实物验证,需先适配,已切片,已打印,已装配,返工"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41a3cbacdf4e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1" hidden="0" customWidth="1"/>
    <x:col min="3" max="3" width="22" hidden="0" customWidth="1"/>
    <x:col min="4" max="4" width="65" hidden="0" customWidth="1"/>
    <x:col min="5" max="5" width="24" hidden="0" customWidth="1"/>
  </x:cols>
  <x:sheetData>
    <x:row r="1" ht="34" customHeight="1">
      <x:c r="A1" s="3" t="str">
        <x:v>BLOOM | 开发、装配与打印资源</x:v>
      </x:c>
      <x:c r="B1" s="3"/>
      <x:c r="C1" s="3"/>
      <x:c r="D1" s="3"/>
      <x:c r="E1" s="3"/>
    </x:row>
    <x:row r="2" ht="38" customHeight="1">
      <x:c r="A2" s="8" t="str">
        <x:v>这些是制作工具或服务，不装进灯里。优先复用电脑、借用测量设备和打印服务。</x:v>
      </x:c>
      <x:c r="B2" s="8"/>
      <x:c r="C2" s="8"/>
      <x:c r="D2" s="8"/>
      <x:c r="E2" s="8"/>
    </x:row>
    <x:row r="4" ht="28" customHeight="1">
      <x:c r="A4" s="14" t="str">
        <x:v>编号</x:v>
      </x:c>
      <x:c r="B4" s="14" t="str">
        <x:v>工具/服务</x:v>
      </x:c>
      <x:c r="C4" s="14" t="str">
        <x:v>数量</x:v>
      </x:c>
      <x:c r="D4" s="14" t="str">
        <x:v>用途/条件</x:v>
      </x:c>
      <x:c r="E4" s="14" t="str">
        <x:v>获取建议</x:v>
      </x:c>
    </x:row>
    <x:row r="5" ht="58" customHeight="1">
      <x:c r="A5" s="20" t="str">
        <x:v>T01</x:v>
      </x:c>
      <x:c r="B5" s="20" t="str">
        <x:v>电脑</x:v>
      </x:c>
      <x:c r="C5" s="20" t="str">
        <x:v>1台，可用已有Mac</x:v>
      </x:c>
      <x:c r="D5" s="20" t="str">
        <x:v>工作台、模型查看、固件编译烧录</x:v>
      </x:c>
      <x:c r="E5" s="20" t="str">
        <x:v>已有可复用</x:v>
      </x:c>
    </x:row>
    <x:row r="6" ht="58" customHeight="1">
      <x:c r="A6" s="20" t="str">
        <x:v>T02</x:v>
      </x:c>
      <x:c r="B6" s="20" t="str">
        <x:v>2.4GHz Wi-Fi网络</x:v>
      </x:c>
      <x:c r="C6" s="20" t="str">
        <x:v>1套</x:v>
      </x:c>
      <x:c r="D6" s="20" t="str">
        <x:v>电脑与ESP32同局域网；访客隔离需关闭/调整</x:v>
      </x:c>
      <x:c r="E6" s="20" t="str">
        <x:v>已有可复用</x:v>
      </x:c>
    </x:row>
    <x:row r="7" ht="58" customHeight="1">
      <x:c r="A7" s="20" t="str">
        <x:v>T03</x:v>
      </x:c>
      <x:c r="B7" s="20" t="str">
        <x:v>万用表</x:v>
      </x:c>
      <x:c r="C7" s="20" t="str">
        <x:v>1台</x:v>
      </x:c>
      <x:c r="D7" s="20" t="str">
        <x:v>上电前短路/极性检查、供电核验</x:v>
      </x:c>
      <x:c r="E7" s="20" t="str">
        <x:v>必须可用</x:v>
      </x:c>
    </x:row>
    <x:row r="8" ht="58" customHeight="1">
      <x:c r="A8" s="20" t="str">
        <x:v>T04</x:v>
      </x:c>
      <x:c r="B8" s="20" t="str">
        <x:v>游标卡尺</x:v>
      </x:c>
      <x:c r="C8" s="20" t="str">
        <x:v>1把</x:v>
      </x:c>
      <x:c r="D8" s="20" t="str">
        <x:v>测PCB、按钮、灯杆、镜片、试片尺寸</x:v>
      </x:c>
      <x:c r="E8" s="20" t="str">
        <x:v>必须可用</x:v>
      </x:c>
    </x:row>
    <x:row r="9" ht="58" customHeight="1">
      <x:c r="A9" s="20" t="str">
        <x:v>T05</x:v>
      </x:c>
      <x:c r="B9" s="20" t="str">
        <x:v>温度计或热电偶</x:v>
      </x:c>
      <x:c r="C9" s="20" t="str">
        <x:v>1套</x:v>
      </x:c>
      <x:c r="D9" s="20" t="str">
        <x:v>验证LED、投影器、外壳热点及NTC读数</x:v>
      </x:c>
      <x:c r="E9" s="20" t="str">
        <x:v>必须可用</x:v>
      </x:c>
    </x:row>
    <x:row r="10" ht="58" customHeight="1">
      <x:c r="A10" s="20" t="str">
        <x:v>T06</x:v>
      </x:c>
      <x:c r="B10" s="20" t="str">
        <x:v>焊台＋焊锡＋辅助夹具</x:v>
      </x:c>
      <x:c r="C10" s="20" t="str">
        <x:v>1套</x:v>
      </x:c>
      <x:c r="D10" s="20" t="str">
        <x:v>接线、绝缘固定；配通风</x:v>
      </x:c>
      <x:c r="E10" s="20" t="str">
        <x:v>可借用/外协</x:v>
      </x:c>
    </x:row>
    <x:row r="11" ht="58" customHeight="1">
      <x:c r="A11" s="20" t="str">
        <x:v>T07</x:v>
      </x:c>
      <x:c r="B11" s="20" t="str">
        <x:v>剪钳、剥线钳、螺丝刀、砂纸</x:v>
      </x:c>
      <x:c r="C11" s="20" t="str">
        <x:v>1套</x:v>
      </x:c>
      <x:c r="D11" s="20" t="str">
        <x:v>后处理、线束与机械装配</x:v>
      </x:c>
      <x:c r="E11" s="20" t="str">
        <x:v>可借用/外协</x:v>
      </x:c>
    </x:row>
    <x:row r="12" ht="58" customHeight="1">
      <x:c r="A12" s="20" t="str">
        <x:v>T08</x:v>
      </x:c>
      <x:c r="B12" s="20" t="str">
        <x:v>限流可调电源</x:v>
      </x:c>
      <x:c r="C12" s="20" t="str">
        <x:v>1台</x:v>
      </x:c>
      <x:c r="D12" s="20" t="str">
        <x:v>分阶段低压上电调试</x:v>
      </x:c>
      <x:c r="E12" s="20" t="str">
        <x:v>建议借用</x:v>
      </x:c>
    </x:row>
    <x:row r="13" ht="58" customHeight="1">
      <x:c r="A13" s="20" t="str">
        <x:v>T09</x:v>
      </x:c>
      <x:c r="B13" s="20" t="str">
        <x:v>3D打印及清洗固化服务</x:v>
      </x:c>
      <x:c r="C13" s="20" t="str">
        <x:v>1套服务</x:v>
      </x:c>
      <x:c r="D13" s="20" t="str">
        <x:v>借用或外包；无需为了1盏样机购买设备</x:v>
      </x:c>
      <x:c r="E13" s="20" t="str">
        <x:v>外协或借用</x:v>
      </x:c>
    </x:row>
    <x:row r="14" ht="58" customHeight="1">
      <x:c r="A14" s="20" t="str">
        <x:v>T10</x:v>
      </x:c>
      <x:c r="B14" s="20" t="str">
        <x:v>树脂打印后处理防护</x:v>
      </x:c>
      <x:c r="C14" s="20" t="str">
        <x:v>按服务/材料SDS</x:v>
      </x:c>
      <x:c r="D14" s="20" t="str">
        <x:v>自印时配合规防护、通风、废液处置；外包由服务商实施</x:v>
      </x:c>
      <x:c r="E14" s="20" t="str">
        <x:v>按材料要求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3688e9075d148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3" hidden="0" customWidth="1"/>
    <x:col min="3" max="3" width="43" hidden="0" customWidth="1"/>
    <x:col min="4" max="4" width="80" hidden="0" customWidth="1"/>
    <x:col min="5" max="5" width="22" hidden="0" customWidth="1"/>
  </x:cols>
  <x:sheetData>
    <x:row r="1" ht="34" customHeight="1">
      <x:c r="A1" s="3" t="str">
        <x:v>BLOOM | 下单与打印前确认事项</x:v>
      </x:c>
      <x:c r="B1" s="3"/>
      <x:c r="C1" s="3"/>
      <x:c r="D1" s="3"/>
      <x:c r="E1" s="3"/>
    </x:row>
    <x:row r="2" ht="38" customHeight="1">
      <x:c r="A2" s="8" t="str">
        <x:v>本次没有修改原ZIP或CAD。下列“CAD复核发现”应先处理，不能把已有STL等同于可直接量产。</x:v>
      </x:c>
      <x:c r="B2" s="8"/>
      <x:c r="C2" s="8"/>
      <x:c r="D2" s="8"/>
      <x:c r="E2" s="8"/>
    </x:row>
    <x:row r="4" ht="28" customHeight="1">
      <x:c r="A4" s="14" t="str">
        <x:v>编号</x:v>
      </x:c>
      <x:c r="B4" s="14" t="str">
        <x:v>对象</x:v>
      </x:c>
      <x:c r="C4" s="14" t="str">
        <x:v>必须确认</x:v>
      </x:c>
      <x:c r="D4" s="14" t="str">
        <x:v>具体说明</x:v>
      </x:c>
      <x:c r="E4" s="14" t="str">
        <x:v>状态/来源</x:v>
      </x:c>
    </x:row>
    <x:row r="5" ht="58" customHeight="1">
      <x:c r="A5" s="20" t="str">
        <x:v>F01</x:v>
      </x:c>
      <x:c r="B5" s="20" t="str">
        <x:v>所有实物</x:v>
      </x:c>
      <x:c r="C5" s="20" t="str">
        <x:v>先采购关键模块再冻结CAD</x:v>
      </x:c>
      <x:c r="D5" s="20" t="str">
        <x:v>PN532、主控、按钮、LED、镜片、金属管尺寸均需测量</x:v>
      </x:c>
      <x:c r="E5" s="20" t="str">
        <x:v>待实物</x:v>
      </x:c>
    </x:row>
    <x:row r="6" ht="58" customHeight="1">
      <x:c r="A6" s="20" t="str">
        <x:v>F02</x:v>
      </x:c>
      <x:c r="B6" s="20" t="str">
        <x:v>投影支架</x:v>
      </x:c>
      <x:c r="C6" s="20" t="str">
        <x:v>必须检查并修订桌面支撑几何</x:v>
      </x:c>
      <x:c r="D6" s="20" t="str">
        <x:v>当前STL最低z≈-13.28mm；SCAD底板为z=0~4mm，斜托架低于底板；需要调整托架/底面，不能靠整体抬高解决平底接触</x:v>
      </x:c>
      <x:c r="E6" s="20" t="str">
        <x:v>CAD复核发现</x:v>
      </x:c>
    </x:row>
    <x:row r="7" ht="58" customHeight="1">
      <x:c r="A7" s="20" t="str">
        <x:v>F03</x:v>
      </x:c>
      <x:c r="B7" s="20" t="str">
        <x:v>镜片压环</x:v>
      </x:c>
      <x:c r="C7" s="20" t="str">
        <x:v>补可靠保持/可拆锁定</x:v>
      </x:c>
      <x:c r="D7" s="20" t="str">
        <x:v>lens_retainer只有简单环形，未定义独立扣位/螺纹/螺孔；不可把自由放置当成装配完成</x:v>
      </x:c>
      <x:c r="E7" s="20" t="str">
        <x:v>CAD复核发现</x:v>
      </x:c>
    </x:row>
    <x:row r="8" ht="58" customHeight="1">
      <x:c r="A8" s="20" t="str">
        <x:v>F04</x:v>
      </x:c>
      <x:c r="B8" s="20" t="str">
        <x:v>扩散片</x:v>
      </x:c>
      <x:c r="C8" s="20" t="str">
        <x:v>补定位压圈或其他可靠固定</x:v>
      </x:c>
      <x:c r="D8" s="20" t="str">
        <x:v>STL列表没有独立扩散片保持件；按实购材料/厚度适配</x:v>
      </x:c>
      <x:c r="E8" s="20" t="str">
        <x:v>待设计适配</x:v>
      </x:c>
    </x:row>
    <x:row r="9" ht="58" customHeight="1">
      <x:c r="A9" s="20" t="str">
        <x:v>F05</x:v>
      </x:c>
      <x:c r="B9" s="20" t="str">
        <x:v>LED安装与散热</x:v>
      </x:c>
      <x:c r="C9" s="20" t="str">
        <x:v>补灯板支架/绝缘定位及实际散热方案</x:v>
      </x:c>
      <x:c r="D9" s="20" t="str">
        <x:v>主照明与分体投影源独立测热；一只NTC不覆盖全部热点</x:v>
      </x:c>
      <x:c r="E9" s="20" t="str">
        <x:v>待实物</x:v>
      </x:c>
    </x:row>
    <x:row r="10" ht="58" customHeight="1">
      <x:c r="A10" s="20" t="str">
        <x:v>F06</x:v>
      </x:c>
      <x:c r="B10" s="20" t="str">
        <x:v>模块/电源口/配重</x:v>
      </x:c>
      <x:c r="C10" s="20" t="str">
        <x:v>完成托盘或可靠固定与应力释放</x:v>
      </x:c>
      <x:c r="D10" s="20" t="str">
        <x:v>现有通用扎带槽不是所有模块的最终孔位；配重不能在底座自由移动</x:v>
      </x:c>
      <x:c r="E10" s="20" t="str">
        <x:v>待实物</x:v>
      </x:c>
    </x:row>
    <x:row r="11" ht="58" customHeight="1">
      <x:c r="A11" s="20" t="str">
        <x:v>F07</x:v>
      </x:c>
      <x:c r="B11" s="20" t="str">
        <x:v>底盖螺丝</x:v>
      </x:c>
      <x:c r="C11" s="20" t="str">
        <x:v>冻结紧固方法后再采购定长件</x:v>
      </x:c>
      <x:c r="D11" s="20" t="str">
        <x:v>SCAD底座柱孔2.7mm、底盖通孔3.4mm；须确认合适自攻/攻丝/嵌件或改成通孔＋螺母，不强拧树脂</x:v>
      </x:c>
      <x:c r="E11" s="20" t="str">
        <x:v>CAD复核发现</x:v>
      </x:c>
    </x:row>
    <x:row r="12" ht="58" customHeight="1">
      <x:c r="A12" s="20" t="str">
        <x:v>F08</x:v>
      </x:c>
      <x:c r="B12" s="20" t="str">
        <x:v>打印机排版</x:v>
      </x:c>
      <x:c r="C12" s="20" t="str">
        <x:v>不统一缩小模型迁就平台</x:v>
      </x:c>
      <x:c r="D12" s="20" t="str">
        <x:v>以Reflex RS为例222×122×228mm；140mm底座与约190mm花冠不能XY平放，须倾斜/立放并预留支撑；不足再分件</x:v>
      </x:c>
      <x:c r="E12" s="20" t="str">
        <x:v>S10＋STL尺寸</x:v>
      </x:c>
    </x:row>
    <x:row r="13" ht="58" customHeight="1">
      <x:c r="A13" s="20" t="str">
        <x:v>F09</x:v>
      </x:c>
      <x:c r="B13" s="20" t="str">
        <x:v>固件/灯光范围</x:v>
      </x:c>
      <x:c r="C13" s="20" t="str">
        <x:v>当前是两路单色PWM，不是RGB</x:v>
      </x:c>
      <x:c r="D13" s="20" t="str">
        <x:v>无需先买WS2812/RGB灯带、舵机、麦克风、摄像头；升级需另改供电与代码</x:v>
      </x:c>
      <x:c r="E13" s="20" t="str">
        <x:v>S1,S5</x:v>
      </x:c>
    </x:row>
    <x:row r="14" ht="58" customHeight="1">
      <x:c r="A14" s="20" t="str">
        <x:v>F10</x:v>
      </x:c>
      <x:c r="B14" s="20" t="str">
        <x:v>实物验证</x:v>
      </x:c>
      <x:c r="C14" s="20" t="str">
        <x:v>完整PlatformIO构建、烧录、NFC、结构与热测试</x:v>
      </x:c>
      <x:c r="D14" s="20" t="str">
        <x:v>此前只有固件纯逻辑检查；本次仅清单核对与STL尺寸读取，不代表新完成硬件验证</x:v>
      </x:c>
      <x:c r="E14" s="20" t="str">
        <x:v>S2</x:v>
      </x:c>
    </x:row>
    <x:row r="15" ht="58" customHeight="1">
      <x:c r="A15" s="20" t="str">
        <x:v>F11</x:v>
      </x:c>
      <x:c r="B15" s="20" t="str">
        <x:v>核心展示</x:v>
      </x:c>
      <x:c r="C15" s="20" t="str">
        <x:v>6件灯体＋3花冠＋4件投影组件＋2光影片</x:v>
      </x:c>
      <x:c r="D15" s="20" t="str">
        <x:v>合计15件展示零件；再加2测试片，17种STL各1件。日常一次使用其中1花冠、1插片，即12件</x:v>
      </x:c>
      <x:c r="E15" s="20" t="str">
        <x:v>S3,S6；数量口径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676210fbd6c4a0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28" t="str">
        <x:v>BLOOM | 清单总览与来源</x:v>
      </x:c>
      <x:c r="B1" s="28"/>
      <x:c r="C1" s="28"/>
      <x:c r="D1" s="28"/>
      <x:c r="E1" s="28"/>
      <x:c r="F1" s="28"/>
    </x:row>
    <x:row r="2">
      <x:c r="A2" s="29"/>
      <x:c r="B2" s="29"/>
      <x:c r="C2" s="29"/>
      <x:c r="D2" s="29"/>
      <x:c r="E2" s="29"/>
      <x:c r="F2" s="29"/>
    </x:row>
    <x:row r="3">
      <x:c r="A3" s="14" t="str">
        <x:v>统计项</x:v>
      </x:c>
      <x:c r="B3" s="14" t="str">
        <x:v>数值</x:v>
      </x:c>
      <x:c r="C3" s="29"/>
      <x:c r="D3" s="29"/>
      <x:c r="E3" s="29"/>
      <x:c r="F3" s="29"/>
    </x:row>
    <x:row r="4">
      <x:c r="A4" s="29" t="str">
        <x:v>硬件采购条目</x:v>
      </x:c>
      <x:c r="B4" s="29" t="n">
        <x:f>COUNTA('硬件采购'!A5:A32)</x:f>
        <x:v>28</x:v>
      </x:c>
      <x:c r="C4" s="29"/>
      <x:c r="D4" s="29"/>
      <x:c r="E4" s="29"/>
      <x:c r="F4" s="29"/>
    </x:row>
    <x:row r="5">
      <x:c r="A5" s="29" t="str">
        <x:v>STL文件种类</x:v>
      </x:c>
      <x:c r="B5" s="29" t="n">
        <x:f>COUNTA('3D打印'!A5:A21)</x:f>
        <x:v>17</x:v>
      </x:c>
      <x:c r="C5" s="29"/>
      <x:c r="D5" s="29"/>
      <x:c r="E5" s="29"/>
      <x:c r="F5" s="29"/>
    </x:row>
    <x:row r="6">
      <x:c r="A6" s="29" t="str">
        <x:v>首轮打印件数（含试片）</x:v>
      </x:c>
      <x:c r="B6" s="29" t="n">
        <x:f>SUM('3D打印'!E5:E21)</x:f>
        <x:v>17</x:v>
      </x:c>
      <x:c r="C6" s="29"/>
      <x:c r="D6" s="29"/>
      <x:c r="E6" s="29"/>
      <x:c r="F6" s="29"/>
    </x:row>
    <x:row r="7">
      <x:c r="A7" s="29" t="str">
        <x:v>数量口径</x:v>
      </x:c>
      <x:c r="B7" s="29" t="str">
        <x:v>1盏灯＋3外装＋1投影组件＋2插片＋2测试片</x:v>
      </x:c>
      <x:c r="C7" s="29"/>
      <x:c r="D7" s="29"/>
      <x:c r="E7" s="29"/>
      <x:c r="F7" s="29"/>
    </x:row>
    <x:row r="8">
      <x:c r="A8" s="29"/>
      <x:c r="B8" s="29"/>
      <x:c r="C8" s="29"/>
      <x:c r="D8" s="29"/>
      <x:c r="E8" s="29"/>
      <x:c r="F8" s="29"/>
    </x:row>
    <x:row r="9" ht="38" customHeight="1">
      <x:c r="A9" s="25" t="str">
        <x:v>文件状态：工程原型。硬件未完成实体打印、装配、烧录、热学/光学/RF验证。无价格、工期或量产安全承诺。</x:v>
      </x:c>
      <x:c r="B9" s="25"/>
      <x:c r="C9" s="25"/>
      <x:c r="D9" s="25"/>
      <x:c r="E9" s="25"/>
      <x:c r="F9" s="25"/>
    </x:row>
    <x:row r="10">
      <x:c r="A10" s="29"/>
      <x:c r="B10" s="29"/>
      <x:c r="C10" s="29"/>
      <x:c r="D10" s="29"/>
      <x:c r="E10" s="29"/>
      <x:c r="F10" s="29"/>
    </x:row>
    <x:row r="11">
      <x:c r="A11" s="29" t="str">
        <x:v>原ZIP SHA-256</x:v>
      </x:c>
      <x:c r="B11" s="29" t="str">
        <x:v>1790927c7b5a1466e2842797ba106b24df2f4c3adc2ac0a365789fb26d9d4b33</x:v>
      </x:c>
      <x:c r="C11" s="29"/>
      <x:c r="D11" s="29"/>
      <x:c r="E11" s="29"/>
      <x:c r="F11" s="29"/>
    </x:row>
    <x:row r="12">
      <x:c r="A12" s="29"/>
      <x:c r="B12" s="29"/>
      <x:c r="C12" s="29"/>
      <x:c r="D12" s="29"/>
      <x:c r="E12" s="29"/>
      <x:c r="F12" s="29"/>
    </x:row>
    <x:row r="13" ht="32" customHeight="1">
      <x:c r="A13" s="29" t="str">
        <x:v>S1</x:v>
      </x:c>
      <x:c r="B13" s="29" t="str">
        <x:v>BLOOM-growing-lamp-MVP.zip :: growing-lamp-mvp/hardware/electronics/BOM.md</x:v>
      </x:c>
      <x:c r="C13" s="29"/>
      <x:c r="D13" s="29"/>
      <x:c r="E13" s="29"/>
      <x:c r="F13" s="29"/>
    </x:row>
    <x:row r="14" ht="32" customHeight="1">
      <x:c r="A14" s="29" t="str">
        <x:v>S2</x:v>
      </x:c>
      <x:c r="B14" s="29" t="str">
        <x:v>BLOOM-growing-lamp-MVP.zip :: growing-lamp-mvp/docs/HARDWARE.md</x:v>
      </x:c>
      <x:c r="C14" s="29"/>
      <x:c r="D14" s="29"/>
      <x:c r="E14" s="29"/>
      <x:c r="F14" s="29"/>
    </x:row>
    <x:row r="15" ht="32" customHeight="1">
      <x:c r="A15" s="29" t="str">
        <x:v>S3</x:v>
      </x:c>
      <x:c r="B15" s="29" t="str">
        <x:v>BLOOM-growing-lamp-MVP.zip :: growing-lamp-mvp/docs/PRINT_AND_ASSEMBLY.md</x:v>
      </x:c>
      <x:c r="C15" s="29"/>
      <x:c r="D15" s="29"/>
      <x:c r="E15" s="29"/>
      <x:c r="F15" s="29"/>
    </x:row>
    <x:row r="16" ht="32" customHeight="1">
      <x:c r="A16" s="29" t="str">
        <x:v>S4</x:v>
      </x:c>
      <x:c r="B16" s="29" t="str">
        <x:v>BLOOM-growing-lamp-MVP.zip :: growing-lamp-mvp/hardware/cad/lamp.scad + interface.json</x:v>
      </x:c>
      <x:c r="C16" s="29"/>
      <x:c r="D16" s="29"/>
      <x:c r="E16" s="29"/>
      <x:c r="F16" s="29"/>
    </x:row>
    <x:row r="17" ht="32" customHeight="1">
      <x:c r="A17" s="29" t="str">
        <x:v>S5</x:v>
      </x:c>
      <x:c r="B17" s="29" t="str">
        <x:v>BLOOM-growing-lamp-MVP.zip :: growing-lamp-mvp/hardware/firmware/src/main.cpp + include/config.example.h</x:v>
      </x:c>
      <x:c r="C17" s="29"/>
      <x:c r="D17" s="29"/>
      <x:c r="E17" s="29"/>
      <x:c r="F17" s="29"/>
    </x:row>
    <x:row r="18" ht="32" customHeight="1">
      <x:c r="A18" s="29" t="str">
        <x:v>S6</x:v>
      </x:c>
      <x:c r="B18" s="29" t="str">
        <x:v>BLOOM-growing-lamp-MVP.zip :: growing-lamp-mvp/hardware/exports/*.stl；本次以 trimesh 读取几何包围盒</x:v>
      </x:c>
      <x:c r="C18" s="29"/>
      <x:c r="D18" s="29"/>
      <x:c r="E18" s="29"/>
      <x:c r="F18" s="29"/>
    </x:row>
    <x:row r="19" ht="32" customHeight="1">
      <x:c r="A19" s="29" t="str">
        <x:v>S7</x:v>
      </x:c>
      <x:c r="B19" s="29" t="str">
        <x:v>https://docs.espressif.com/projects/esp-dev-kits/en/latest/esp32/esp32-devkitc/user_guide.html</x:v>
      </x:c>
      <x:c r="C19" s="29"/>
      <x:c r="D19" s="29"/>
      <x:c r="E19" s="29"/>
      <x:c r="F19" s="29"/>
    </x:row>
    <x:row r="20" ht="32" customHeight="1">
      <x:c r="A20" s="29" t="str">
        <x:v>S8</x:v>
      </x:c>
      <x:c r="B20" s="29" t="str">
        <x:v>https://learn.adafruit.com/adafruit-pn532-rfid-nfc/breakout-wiring</x:v>
      </x:c>
      <x:c r="C20" s="29"/>
      <x:c r="D20" s="29"/>
      <x:c r="E20" s="29"/>
      <x:c r="F20" s="29"/>
    </x:row>
    <x:row r="21" ht="32" customHeight="1">
      <x:c r="A21" s="29" t="str">
        <x:v>S9</x:v>
      </x:c>
      <x:c r="B21" s="29" t="str">
        <x:v>https://www.adafruit.com/product/4032</x:v>
      </x:c>
      <x:c r="C21" s="29"/>
      <x:c r="D21" s="29"/>
      <x:c r="E21" s="29"/>
      <x:c r="F21" s="29"/>
    </x:row>
    <x:row r="22" ht="32" customHeight="1">
      <x:c r="A22" s="29" t="str">
        <x:v>S10</x:v>
      </x:c>
      <x:c r="B22" s="29" t="str">
        <x:v>https://store.heygears.com/products/ultracraft-reflex-rs-3d-printer</x:v>
      </x:c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</x:sheetData>
  <x:mergeCells>
    <x:mergeCell ref="A1:F1"/>
    <x:mergeCell ref="B7:F7"/>
    <x:mergeCell ref="A9:F9"/>
    <x:mergeCell ref="B11:F11"/>
    <x:mergeCell ref="B13:F13"/>
    <x:mergeCell ref="B14:F14"/>
    <x:mergeCell ref="B15:F15"/>
    <x:mergeCell ref="B16:F16"/>
    <x:mergeCell ref="B17:F17"/>
    <x:mergeCell ref="B18:F18"/>
    <x:mergeCell ref="B19:F19"/>
    <x:mergeCell ref="B20:F20"/>
    <x:mergeCell ref="B21:F21"/>
    <x:mergeCell ref="B22:F22"/>
  </x:mergeCells>
  <x:pageMargins left="0.7" right="0.7" top="0.75" bottom="0.75" header="0.3" footer="0.3"/>
</x:worksheet>
</file>